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ổng quan" sheetId="1" state="visible" r:id="rId3"/>
    <sheet name="Trung vị" sheetId="2" state="visible" r:id="rId4"/>
    <sheet name="Nhanh nhất" sheetId="3" state="visible" r:id="rId5"/>
    <sheet name="Dung lượng" sheetId="4" state="visible" r:id="rId6"/>
    <sheet name="Dựng bảng" sheetId="5" state="visible" r:id="rId7"/>
    <sheet name="Nhận xét" sheetId="6" state="visible" r:id="rId8"/>
    <sheet name="Hive"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<sst xmlns="http://schemas.openxmlformats.org/spreadsheetml/2006/main" count="190" uniqueCount="153">
  <si>
    <t xml:space="preserve">Kết quả benchmark funnel / session / brand trên Spark SQL (TV2)</t>
  </si>
  <si>
    <t xml:space="preserve">Số màu xanh dương là số liệu lấy từ lần chạy trên máy ảo của nhóm. Số màu đen là công thức.</t>
  </si>
  <si>
    <t xml:space="preserve">Thông số</t>
  </si>
  <si>
    <t xml:space="preserve">Giá trị</t>
  </si>
  <si>
    <t xml:space="preserve">Ghi chú</t>
  </si>
  <si>
    <t xml:space="preserve">Số dòng dữ liệu mẫu gốc</t>
  </si>
  <si>
    <t xml:space="preserve">sample_20k.csv</t>
  </si>
  <si>
    <t xml:space="preserve">Số phiên trong mẫu gốc</t>
  </si>
  <si>
    <t xml:space="preserve">Kết quả truy vấn chất lượng dữ liệu</t>
  </si>
  <si>
    <t xml:space="preserve">REPLICAS (số lần nhân bản)</t>
  </si>
  <si>
    <t xml:space="preserve">Dòng sequence(0, 50 - 1) trong setup.sql đã render</t>
  </si>
  <si>
    <t xml:space="preserve">Số dòng sau nhân bản</t>
  </si>
  <si>
    <t xml:space="preserve">Dữ liệu giả để đo hiệu năng, không dùng rút kết luận nghiệp vụ</t>
  </si>
  <si>
    <t xml:space="preserve">Số phiên sau nhân bản</t>
  </si>
  <si>
    <t xml:space="preserve">Khớp sessions_window = 261.550 trong verify_sf.out</t>
  </si>
  <si>
    <t xml:space="preserve">Số ngày (số phân vùng)</t>
  </si>
  <si>
    <t xml:space="preserve">Mỗi bản sao lùi sang 1 ngày</t>
  </si>
  <si>
    <t xml:space="preserve">Thời gian khởi động spark-sql (giây)</t>
  </si>
  <si>
    <t xml:space="preserve">Trung bình 3 lần đo 8,28 / 8,57 / 8,40 ở lần chạy trước. Bảng benchmark đã trừ giá trị này</t>
  </si>
  <si>
    <t xml:space="preserve">Phần cứng máy ảo</t>
  </si>
  <si>
    <t xml:space="preserve">6 CPU, RAM 7,6 GB, ổ 50 GB</t>
  </si>
  <si>
    <t xml:space="preserve">Từ lệnh nproc, free -h, df -h</t>
  </si>
  <si>
    <t xml:space="preserve">Spark</t>
  </si>
  <si>
    <t xml:space="preserve">3.1.2, chế độ local[2], driver 1g</t>
  </si>
  <si>
    <t xml:space="preserve">Lệnh spark-sql --version và cấu hình bench.sh</t>
  </si>
  <si>
    <t xml:space="preserve">Cấu hình A, B, C</t>
  </si>
  <si>
    <t xml:space="preserve">shuffle.partitions=200, AQE tắt</t>
  </si>
  <si>
    <t xml:space="preserve">Mặc định của Spark (trước tối ưu)</t>
  </si>
  <si>
    <t xml:space="preserve">Cấu hình D</t>
  </si>
  <si>
    <t xml:space="preserve">shuffle.partitions=8, AQE bật</t>
  </si>
  <si>
    <t xml:space="preserve">Sau tối ưu</t>
  </si>
  <si>
    <t xml:space="preserve">Đầu ra yêu cầu</t>
  </si>
  <si>
    <t xml:space="preserve">Trạng thái</t>
  </si>
  <si>
    <t xml:space="preserve">Bộ truy vấn bản đầu</t>
  </si>
  <si>
    <t xml:space="preserve">Đã có</t>
  </si>
  <si>
    <t xml:space="preserve">Thư mục queries/ và setup.sql trong ecom_bench</t>
  </si>
  <si>
    <t xml:space="preserve">Kịch bản benchmark</t>
  </si>
  <si>
    <t xml:space="preserve">README.md, mục 3 và 4</t>
  </si>
  <si>
    <t xml:space="preserve">Kết quả chạy thử trên Spark</t>
  </si>
  <si>
    <t xml:space="preserve">Các sheet Trung vị, Nhanh nhất, Dung lượng, Dựng bảng</t>
  </si>
  <si>
    <t xml:space="preserve">Đối chiếu hai cách dựng session_funnel</t>
  </si>
  <si>
    <t xml:space="preserve">Đạt</t>
  </si>
  <si>
    <t xml:space="preserve">Xem sheet Dựng bảng</t>
  </si>
  <si>
    <t xml:space="preserve">Kiểm thử Hive (bash bench.sh hive)</t>
  </si>
  <si>
    <t xml:space="preserve">Xem sheet Hive: hive_check và q1 khớp với Spark</t>
  </si>
  <si>
    <t xml:space="preserve">Nối với bảng thật của TV1</t>
  </si>
  <si>
    <t xml:space="preserve">Chưa</t>
  </si>
  <si>
    <t xml:space="preserve">Chờ TV1 giao bảng, dùng queries/adapter_real_schema.sql</t>
  </si>
  <si>
    <t xml:space="preserve">Trung vị các lần đo (giây, đã trừ thời gian khởi động spark-sql)</t>
  </si>
  <si>
    <t xml:space="preserve">Trung vị của 3 lần đo cho mỗi ô. Cột 'Kết quả giống nhau' trong summary.md đều là 'co' (kết quả đầu ra của 4 kịch bản trùng nhau).</t>
  </si>
  <si>
    <t xml:space="preserve">Truy vấn</t>
  </si>
  <si>
    <t xml:space="preserve">A: CSV</t>
  </si>
  <si>
    <t xml:space="preserve">B: Parquet</t>
  </si>
  <si>
    <t xml:space="preserve">C: Parquet + phân vùng</t>
  </si>
  <si>
    <t xml:space="preserve">D: C + tối ưu</t>
  </si>
  <si>
    <t xml:space="preserve">Tăng tốc B so với A</t>
  </si>
  <si>
    <t xml:space="preserve">Tăng tốc C so với B</t>
  </si>
  <si>
    <t xml:space="preserve">Tăng tốc D so với A</t>
  </si>
  <si>
    <t xml:space="preserve">q1 Funnel tổng thể</t>
  </si>
  <si>
    <t xml:space="preserve">q2 Funnel theo ngày</t>
  </si>
  <si>
    <t xml:space="preserve">q3 Số sự kiện mỗi phiên</t>
  </si>
  <si>
    <t xml:space="preserve">q4 Thời lượng phiên</t>
  </si>
  <si>
    <t xml:space="preserve">q5 Brand (Phương pháp A)</t>
  </si>
  <si>
    <t xml:space="preserve">q6 Quét theo brand</t>
  </si>
  <si>
    <t xml:space="preserve">Tăng tốc = thời gian của phương án trước chia thời gian của phương án sau. Tỷ lệ không đáng tin khi thời gian sau chỉ còn vài giây hoặc nhỏ hơn 1 giây.</t>
  </si>
  <si>
    <t xml:space="preserve">Độ nhiễu = trung vị chia lần nhanh nhất. Ô màu cam là trên 1,5 lần (số đo dao động mạnh, chưa nên kết luận).</t>
  </si>
  <si>
    <t xml:space="preserve">Nhanh nhất các lần đo (giây, đã trừ thời gian khởi động spark-sql)</t>
  </si>
  <si>
    <t xml:space="preserve">Lần đo nhanh nhất của mỗi ô, dùng đối chiếu khi máy ảo bị nhiễu.</t>
  </si>
  <si>
    <t xml:space="preserve">Dung lượng các bảng trên HDFS (lệnh bench.sh sizes)</t>
  </si>
  <si>
    <t xml:space="preserve">Bảng</t>
  </si>
  <si>
    <t xml:space="preserve">Dung lượng (MB)</t>
  </si>
  <si>
    <t xml:space="preserve">Số dòng</t>
  </si>
  <si>
    <t xml:space="preserve">Byte mỗi dòng</t>
  </si>
  <si>
    <t xml:space="preserve">CSV lớn hơn bảng này (lần)</t>
  </si>
  <si>
    <t xml:space="preserve">events_csv_txt (CSV)</t>
  </si>
  <si>
    <t xml:space="preserve">events_pq (Parquet)</t>
  </si>
  <si>
    <t xml:space="preserve">events_pq_part (Parquet phân vùng)</t>
  </si>
  <si>
    <t xml:space="preserve">session_funnel_pq (1 dòng mỗi phiên)</t>
  </si>
  <si>
    <t xml:space="preserve">Bảng phân vùng lớn hơn Parquet thường (lần)</t>
  </si>
  <si>
    <t xml:space="preserve">Dung lượng trung bình mỗi phân vùng (MB)</t>
  </si>
  <si>
    <t xml:space="preserve">Nhận xét: mỗi phân vùng chỉ khoảng 0,5 MB nên có nhiều file nhỏ, làm bảng phân vùng lớn hơn bảng Parquet thường. Dữ liệu thật (hàng chục triệu dòng mỗi ngày) sẽ có file lớn hơn nhiều.</t>
  </si>
  <si>
    <t xml:space="preserve">Dựng bảng session_funnel: 3 lớp window và 1 phép gộp</t>
  </si>
  <si>
    <t xml:space="preserve">Lần chạy</t>
  </si>
  <si>
    <t xml:space="preserve">3 lớp window (giây)</t>
  </si>
  <si>
    <t xml:space="preserve">1 phép gộp (giây)</t>
  </si>
  <si>
    <t xml:space="preserve">Tăng tốc (thô)</t>
  </si>
  <si>
    <t xml:space="preserve">Window trừ khởi động</t>
  </si>
  <si>
    <t xml:space="preserve">Gộp trừ khởi động</t>
  </si>
  <si>
    <t xml:space="preserve">Tăng tốc (đã trừ)</t>
  </si>
  <si>
    <t xml:space="preserve">Lần 1</t>
  </si>
  <si>
    <t xml:space="preserve">Lần 2</t>
  </si>
  <si>
    <t xml:space="preserve">Hai lần chạy là hai lần gọi bench.sh build. Cách window chạy với shuffle 200, AQE tắt. Cách gộp chạy với shuffle 8, AQE bật, nên mức chênh gồm cả hiệu ứng cấu hình. Số đo dao động nhiều giữa hai lần.</t>
  </si>
  <si>
    <t xml:space="preserve">Kiểm tra tính đúng (verify_sf.out)</t>
  </si>
  <si>
    <t xml:space="preserve">Yêu cầu</t>
  </si>
  <si>
    <t xml:space="preserve">sessions_window</t>
  </si>
  <si>
    <t xml:space="preserve">Bằng sessions_agg</t>
  </si>
  <si>
    <t xml:space="preserve">sessions_agg</t>
  </si>
  <si>
    <t xml:space="preserve">Bằng sessions_window</t>
  </si>
  <si>
    <t xml:space="preserve">missing_in_agg</t>
  </si>
  <si>
    <t xml:space="preserve">Bằng 0</t>
  </si>
  <si>
    <t xml:space="preserve">mismatched</t>
  </si>
  <si>
    <t xml:space="preserve">Kết luận</t>
  </si>
  <si>
    <t xml:space="preserve">Hai cách dựng cho cùng kết quả trên toàn bộ phiên</t>
  </si>
  <si>
    <t xml:space="preserve">Nhận xét kết quả và độ tin cậy</t>
  </si>
  <si>
    <t xml:space="preserve">#</t>
  </si>
  <si>
    <t xml:space="preserve">Phát hiện</t>
  </si>
  <si>
    <t xml:space="preserve">Bằng chứng</t>
  </si>
  <si>
    <t xml:space="preserve">Độ tin cậy</t>
  </si>
  <si>
    <t xml:space="preserve">Parquet nhỏ hơn CSV khoảng 12 lần (131,7 MB còn 10,6 MB).</t>
  </si>
  <si>
    <t xml:space="preserve">Sheet Dung lượng</t>
  </si>
  <si>
    <t xml:space="preserve">Cao</t>
  </si>
  <si>
    <t xml:space="preserve">Hai cách dựng session_funnel cho cùng kết quả trên 261.550 phiên, không lệch dòng nào. Cách một phép gộp (collect_list và filter) chạy được trên Spark 3.1.2.</t>
  </si>
  <si>
    <t xml:space="preserve">Sheet Dựng bảng, verify_sf.out</t>
  </si>
  <si>
    <t xml:space="preserve">Cao về tính đúng</t>
  </si>
  <si>
    <t xml:space="preserve">Kết quả đầu ra của bốn kịch bản giống nhau ở cả 6 truy vấn (so mã băm).</t>
  </si>
  <si>
    <t xml:space="preserve">Cột 'Kết quả giống nhau' trong summary.md</t>
  </si>
  <si>
    <t xml:space="preserve">q5 (brand Phương pháp A) nhanh hơn khoảng 2,1 lần ở kịch bản D (37,1 giây còn 17,9 giây), ổn định ở cả trung vị lẫn lần nhanh nhất.</t>
  </si>
  <si>
    <t xml:space="preserve">Sheet Trung vị và Nhanh nhất</t>
  </si>
  <si>
    <t xml:space="preserve">Khá cao</t>
  </si>
  <si>
    <t xml:space="preserve">Parquet nhanh hơn CSV ở q4 đến q6 (ví dụ q6 từ 17,4 giây còn 11,4 giây). Ở q1 đến q3 chênh lệch nhỏ.</t>
  </si>
  <si>
    <t xml:space="preserve">Sheet Trung vị</t>
  </si>
  <si>
    <t xml:space="preserve">Trung bình</t>
  </si>
  <si>
    <t xml:space="preserve">Phân vùng (C) chưa nhanh hơn Parquet thường (B). Nguyên nhân dự kiến: truy vấn lọc cả 50 ngày nên không có phân vùng nào bị bỏ qua. Bảng phân vùng còn lớn hơn 2,4 lần do 50 file nhỏ. Chưa có phép đo lọc 1 ngày để kiểm chứng.</t>
  </si>
  <si>
    <t xml:space="preserve">Sheet Dung lượng, Trung vị</t>
  </si>
  <si>
    <t xml:space="preserve">Thấp, cần đo thêm</t>
  </si>
  <si>
    <t xml:space="preserve">Với q1, q2, q3 ở kịch bản D, trung vị và lần nhanh nhất chênh rất lớn (ví dụ q1: 14,9 và 0,9 giây). Số đo bị nhiễu nên chưa kết luận được bảng dựng sẵn có nhanh hơn hay không.</t>
  </si>
  <si>
    <t xml:space="preserve">Bảng độ nhiễu ở sheet Trung vị</t>
  </si>
  <si>
    <t xml:space="preserve">Thấp, cần đo lại</t>
  </si>
  <si>
    <t xml:space="preserve">q4 ở kịch bản A (CSV) chậm bất thường (85 đến 92 giây, gấp nhiều lần q3 cùng kịch bản). Chưa giải thích được nguyên nhân.</t>
  </si>
  <si>
    <t xml:space="preserve">Cần điều tra (xem file .err và Spark UI)</t>
  </si>
  <si>
    <t xml:space="preserve">Hạn chế: dữ liệu là bản nhân bản giả lập 1 triệu dòng, nhỏ hơn rất nhiều so với 100 triệu dòng thật. Máy ảo ít RAM trống nên số đo dao động. Thời gian khởi động Spark chiếm phần lớn thời gian ở các truy vấn ngắn.</t>
  </si>
  <si>
    <t xml:space="preserve">Sheet Tổng quan</t>
  </si>
  <si>
    <t xml:space="preserve">Ghi chú phạm vi</t>
  </si>
  <si>
    <t xml:space="preserve">Hive đọc được bảng Parquet phân vùng do Spark tạo và cho kết quả giống Spark ở hive_check và q1. Không có lệch múi giờ giữa hai công cụ.</t>
  </si>
  <si>
    <t xml:space="preserve">Sheet Hive</t>
  </si>
  <si>
    <t xml:space="preserve">Kiểm thử trên Hive (bash bench.sh hive)</t>
  </si>
  <si>
    <t xml:space="preserve">Số màu xanh dương là số liệu nhập từ lần chạy trên máy ảo. Hive đọc các bảng do Spark tạo trong kho dữ liệu HDFS dùng chung.</t>
  </si>
  <si>
    <t xml:space="preserve">Kiểm tra</t>
  </si>
  <si>
    <t xml:space="preserve">Kết quả</t>
  </si>
  <si>
    <t xml:space="preserve">Bằng chứng và ghi chú</t>
  </si>
  <si>
    <t xml:space="preserve">Hive thấy database ecom_bench do Spark tạo</t>
  </si>
  <si>
    <t xml:space="preserve">Bảng nằm ở hdfs://localhost:9000/user/hive/warehouse/ecom_bench.db/... nên Spark và Hive dùng chung kho dữ liệu.</t>
  </si>
  <si>
    <t xml:space="preserve">hive_check: số dòng, số phiên, thời gian nhỏ nhất và lớn nhất, số sự kiện theo loại và theo ngày</t>
  </si>
  <si>
    <t xml:space="preserve">Khớp</t>
  </si>
  <si>
    <t xml:space="preserve">Hai đầu ra chỉ khác dòng 'Response code' do spark-sql in sau lệnh USE. Không có lệch múi giờ.</t>
  </si>
  <si>
    <t xml:space="preserve">q1 (funnel tổng thể, 3 lớp window) chạy trên Hive</t>
  </si>
  <si>
    <t xml:space="preserve">Kết quả giống Spark: S_view 5229, S_cart 97, S_purchase 49, sessions_skip_stage 106, CR 0,0186 / 0,5052 / 0,0094 (khoảng ngày 2019-11-01).</t>
  </si>
  <si>
    <t xml:space="preserve">Thời gian chạy q1 trên Hive</t>
  </si>
  <si>
    <t xml:space="preserve">Số phút</t>
  </si>
  <si>
    <t xml:space="preserve">Số giây lẻ</t>
  </si>
  <si>
    <t xml:space="preserve">Tổng (giây)</t>
  </si>
  <si>
    <t xml:space="preserve">Lệnh time hive -f ... (real 2m34.751s). Gồm thời gian khởi động Hive và chạy MapReduce, không so sánh trực tiếp với số đo Spark vì phạm vi dữ liệu khác.</t>
  </si>
  <si>
    <t xml:space="preserve">Ghi chú: lần chạy đầu của q1 trên Hive bị dừng sau khoảng 16 giây (nguyên nhân chưa xác định, nghi do tác động bên ngoài). Chạy lại riêng thì hoàn tất và cho kết quả đúng.</t>
  </si>
</sst>
</file>

<file path=xl/styles.xml><?xml version="1.0" encoding="utf-8"?>
<styleSheet xmlns="http://schemas.openxmlformats.org/spreadsheetml/2006/main">
  <numFmts count="7">
    <numFmt numFmtId="164" formatCode="General"/>
    <numFmt numFmtId="165" formatCode="#,##0"/>
    <numFmt numFmtId="166" formatCode="0"/>
    <numFmt numFmtId="167" formatCode="0.0"/>
    <numFmt numFmtId="168" formatCode="0.0\x"/>
    <numFmt numFmtId="169" formatCode="0.00"/>
    <numFmt numFmtId="170" formatCode="0.000"/>
  </numFmts>
  <fonts count="10">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i val="true"/>
      <sz val="9"/>
      <color rgb="FF595959"/>
      <name val="Arial"/>
      <family val="0"/>
      <charset val="1"/>
    </font>
    <font>
      <b val="true"/>
      <sz val="10"/>
      <color rgb="FFFFFFFF"/>
      <name val="Arial"/>
      <family val="0"/>
      <charset val="1"/>
    </font>
    <font>
      <sz val="10"/>
      <name val="Arial"/>
      <family val="0"/>
      <charset val="1"/>
    </font>
    <font>
      <sz val="10"/>
      <color rgb="FF0000FF"/>
      <name val="Arial"/>
      <family val="0"/>
      <charset val="1"/>
    </font>
    <font>
      <b val="true"/>
      <sz val="10"/>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6" fontId="8" fillId="0" borderId="1" xfId="0" applyFont="true" applyBorder="true" applyAlignment="tru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general" vertical="bottom" textRotation="0" wrapText="false" indent="0" shrinkToFit="false"/>
      <protection locked="true" hidden="false"/>
    </xf>
    <xf numFmtId="167" fontId="8" fillId="0"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8" fontId="7" fillId="0" borderId="1"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general" vertical="bottom" textRotation="0" wrapText="false" indent="0" shrinkToFit="false"/>
      <protection locked="true" hidden="false"/>
    </xf>
    <xf numFmtId="169" fontId="7" fillId="0"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36"/>
    <col collapsed="false" customWidth="true" hidden="false" outlineLevel="0" max="3" min="3" style="1" width="70"/>
  </cols>
  <sheetData>
    <row r="1" customFormat="false" ht="15.7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t="s">
        <v>2</v>
      </c>
      <c r="B4" s="4" t="s">
        <v>3</v>
      </c>
      <c r="C4" s="4" t="s">
        <v>4</v>
      </c>
    </row>
    <row r="5" customFormat="false" ht="15" hidden="false" customHeight="true" outlineLevel="0" collapsed="false">
      <c r="A5" s="5" t="s">
        <v>5</v>
      </c>
      <c r="B5" s="6" t="n">
        <v>20000</v>
      </c>
      <c r="C5" s="7" t="s">
        <v>6</v>
      </c>
    </row>
    <row r="6" customFormat="false" ht="15" hidden="false" customHeight="true" outlineLevel="0" collapsed="false">
      <c r="A6" s="5" t="s">
        <v>7</v>
      </c>
      <c r="B6" s="6" t="n">
        <v>5231</v>
      </c>
      <c r="C6" s="7" t="s">
        <v>8</v>
      </c>
    </row>
    <row r="7" customFormat="false" ht="15" hidden="false" customHeight="true" outlineLevel="0" collapsed="false">
      <c r="A7" s="5" t="s">
        <v>9</v>
      </c>
      <c r="B7" s="8" t="n">
        <v>50</v>
      </c>
      <c r="C7" s="7" t="s">
        <v>10</v>
      </c>
    </row>
    <row r="8" customFormat="false" ht="15" hidden="false" customHeight="true" outlineLevel="0" collapsed="false">
      <c r="A8" s="5" t="s">
        <v>11</v>
      </c>
      <c r="B8" s="9" t="n">
        <f aca="false">B5*B7</f>
        <v>1000000</v>
      </c>
      <c r="C8" s="7" t="s">
        <v>12</v>
      </c>
    </row>
    <row r="9" customFormat="false" ht="15" hidden="false" customHeight="true" outlineLevel="0" collapsed="false">
      <c r="A9" s="5" t="s">
        <v>13</v>
      </c>
      <c r="B9" s="9" t="n">
        <f aca="false">B6*B7</f>
        <v>261550</v>
      </c>
      <c r="C9" s="7" t="s">
        <v>14</v>
      </c>
    </row>
    <row r="10" customFormat="false" ht="15" hidden="false" customHeight="true" outlineLevel="0" collapsed="false">
      <c r="A10" s="5" t="s">
        <v>15</v>
      </c>
      <c r="B10" s="10" t="n">
        <f aca="false">B7</f>
        <v>50</v>
      </c>
      <c r="C10" s="7" t="s">
        <v>16</v>
      </c>
    </row>
    <row r="11" customFormat="false" ht="23.25" hidden="false" customHeight="true" outlineLevel="0" collapsed="false">
      <c r="A11" s="5" t="s">
        <v>17</v>
      </c>
      <c r="B11" s="11" t="n">
        <v>8.4</v>
      </c>
      <c r="C11" s="7" t="s">
        <v>18</v>
      </c>
    </row>
    <row r="12" customFormat="false" ht="15" hidden="false" customHeight="true" outlineLevel="0" collapsed="false">
      <c r="A12" s="5" t="s">
        <v>19</v>
      </c>
      <c r="B12" s="12" t="s">
        <v>20</v>
      </c>
      <c r="C12" s="7" t="s">
        <v>21</v>
      </c>
    </row>
    <row r="13" customFormat="false" ht="15" hidden="false" customHeight="true" outlineLevel="0" collapsed="false">
      <c r="A13" s="5" t="s">
        <v>22</v>
      </c>
      <c r="B13" s="12" t="s">
        <v>23</v>
      </c>
      <c r="C13" s="7" t="s">
        <v>24</v>
      </c>
    </row>
    <row r="14" customFormat="false" ht="15" hidden="false" customHeight="true" outlineLevel="0" collapsed="false">
      <c r="A14" s="5" t="s">
        <v>25</v>
      </c>
      <c r="B14" s="12" t="s">
        <v>26</v>
      </c>
      <c r="C14" s="7" t="s">
        <v>27</v>
      </c>
    </row>
    <row r="15" customFormat="false" ht="15" hidden="false" customHeight="true" outlineLevel="0" collapsed="false">
      <c r="A15" s="5" t="s">
        <v>28</v>
      </c>
      <c r="B15" s="12" t="s">
        <v>29</v>
      </c>
      <c r="C15" s="7" t="s">
        <v>30</v>
      </c>
    </row>
    <row r="17" customFormat="false" ht="15" hidden="false" customHeight="true" outlineLevel="0" collapsed="false">
      <c r="A17" s="4" t="s">
        <v>31</v>
      </c>
      <c r="B17" s="4" t="s">
        <v>32</v>
      </c>
      <c r="C17" s="4" t="s">
        <v>4</v>
      </c>
    </row>
    <row r="18" customFormat="false" ht="15" hidden="false" customHeight="true" outlineLevel="0" collapsed="false">
      <c r="A18" s="5" t="s">
        <v>33</v>
      </c>
      <c r="B18" s="13" t="s">
        <v>34</v>
      </c>
      <c r="C18" s="7" t="s">
        <v>35</v>
      </c>
    </row>
    <row r="19" customFormat="false" ht="15" hidden="false" customHeight="true" outlineLevel="0" collapsed="false">
      <c r="A19" s="5" t="s">
        <v>36</v>
      </c>
      <c r="B19" s="13" t="s">
        <v>34</v>
      </c>
      <c r="C19" s="7" t="s">
        <v>37</v>
      </c>
    </row>
    <row r="20" customFormat="false" ht="15" hidden="false" customHeight="true" outlineLevel="0" collapsed="false">
      <c r="A20" s="5" t="s">
        <v>38</v>
      </c>
      <c r="B20" s="13" t="s">
        <v>34</v>
      </c>
      <c r="C20" s="7" t="s">
        <v>39</v>
      </c>
    </row>
    <row r="21" customFormat="false" ht="15" hidden="false" customHeight="true" outlineLevel="0" collapsed="false">
      <c r="A21" s="5" t="s">
        <v>40</v>
      </c>
      <c r="B21" s="13" t="s">
        <v>41</v>
      </c>
      <c r="C21" s="7" t="s">
        <v>42</v>
      </c>
    </row>
    <row r="22" customFormat="false" ht="15" hidden="false" customHeight="true" outlineLevel="0" collapsed="false">
      <c r="A22" s="5" t="s">
        <v>43</v>
      </c>
      <c r="B22" s="13" t="s">
        <v>41</v>
      </c>
      <c r="C22" s="7" t="s">
        <v>44</v>
      </c>
    </row>
    <row r="23" customFormat="false" ht="15" hidden="false" customHeight="true" outlineLevel="0" collapsed="false">
      <c r="A23" s="5" t="s">
        <v>45</v>
      </c>
      <c r="B23" s="13" t="s">
        <v>46</v>
      </c>
      <c r="C23" s="7" t="s">
        <v>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8" min="2" style="1" width="16"/>
  </cols>
  <sheetData>
    <row r="1" customFormat="false" ht="15.75" hidden="false" customHeight="true" outlineLevel="0" collapsed="false">
      <c r="A1" s="2" t="s">
        <v>48</v>
      </c>
    </row>
    <row r="2" customFormat="false" ht="15" hidden="false" customHeight="true" outlineLevel="0" collapsed="false">
      <c r="A2" s="3" t="s">
        <v>49</v>
      </c>
    </row>
    <row r="4" customFormat="false" ht="31.5" hidden="false" customHeight="true" outlineLevel="0" collapsed="false">
      <c r="A4" s="4" t="s">
        <v>50</v>
      </c>
      <c r="B4" s="4" t="s">
        <v>51</v>
      </c>
      <c r="C4" s="4" t="s">
        <v>52</v>
      </c>
      <c r="D4" s="4" t="s">
        <v>53</v>
      </c>
      <c r="E4" s="4" t="s">
        <v>54</v>
      </c>
      <c r="F4" s="4" t="s">
        <v>55</v>
      </c>
      <c r="G4" s="4" t="s">
        <v>56</v>
      </c>
      <c r="H4" s="4" t="s">
        <v>57</v>
      </c>
    </row>
    <row r="5" customFormat="false" ht="15" hidden="false" customHeight="true" outlineLevel="0" collapsed="false">
      <c r="A5" s="5" t="s">
        <v>58</v>
      </c>
      <c r="B5" s="11" t="n">
        <v>11.8</v>
      </c>
      <c r="C5" s="11" t="n">
        <v>9.9</v>
      </c>
      <c r="D5" s="11" t="n">
        <v>11.5</v>
      </c>
      <c r="E5" s="11" t="n">
        <v>14.9</v>
      </c>
      <c r="F5" s="14" t="n">
        <f aca="false">IFERROR(B5/C5,"-")</f>
        <v>1.19191919191919</v>
      </c>
      <c r="G5" s="14" t="n">
        <f aca="false">IFERROR(C5/D5,"-")</f>
        <v>0.860869565217391</v>
      </c>
      <c r="H5" s="14" t="n">
        <f aca="false">IFERROR(B5/E5,"-")</f>
        <v>0.791946308724832</v>
      </c>
    </row>
    <row r="6" customFormat="false" ht="15" hidden="false" customHeight="true" outlineLevel="0" collapsed="false">
      <c r="A6" s="5" t="s">
        <v>59</v>
      </c>
      <c r="B6" s="11" t="n">
        <v>16.7</v>
      </c>
      <c r="C6" s="11" t="n">
        <v>12.5</v>
      </c>
      <c r="D6" s="11" t="n">
        <v>34.6</v>
      </c>
      <c r="E6" s="11" t="n">
        <v>19.6</v>
      </c>
      <c r="F6" s="14" t="n">
        <f aca="false">IFERROR(B6/C6,"-")</f>
        <v>1.336</v>
      </c>
      <c r="G6" s="14" t="n">
        <f aca="false">IFERROR(C6/D6,"-")</f>
        <v>0.361271676300578</v>
      </c>
      <c r="H6" s="14" t="n">
        <f aca="false">IFERROR(B6/E6,"-")</f>
        <v>0.852040816326531</v>
      </c>
    </row>
    <row r="7" customFormat="false" ht="15" hidden="false" customHeight="true" outlineLevel="0" collapsed="false">
      <c r="A7" s="5" t="s">
        <v>60</v>
      </c>
      <c r="B7" s="11" t="n">
        <v>18.7</v>
      </c>
      <c r="C7" s="11" t="n">
        <v>15.3</v>
      </c>
      <c r="D7" s="11" t="n">
        <v>17.4</v>
      </c>
      <c r="E7" s="11" t="n">
        <v>37.1</v>
      </c>
      <c r="F7" s="14" t="n">
        <f aca="false">IFERROR(B7/C7,"-")</f>
        <v>1.22222222222222</v>
      </c>
      <c r="G7" s="14" t="n">
        <f aca="false">IFERROR(C7/D7,"-")</f>
        <v>0.879310344827586</v>
      </c>
      <c r="H7" s="14" t="n">
        <f aca="false">IFERROR(B7/E7,"-")</f>
        <v>0.504043126684636</v>
      </c>
    </row>
    <row r="8" customFormat="false" ht="15" hidden="false" customHeight="true" outlineLevel="0" collapsed="false">
      <c r="A8" s="5" t="s">
        <v>61</v>
      </c>
      <c r="B8" s="11" t="n">
        <v>92.2</v>
      </c>
      <c r="C8" s="11" t="n">
        <v>51.3</v>
      </c>
      <c r="D8" s="11" t="n">
        <v>18.2</v>
      </c>
      <c r="E8" s="11" t="n">
        <v>9.3</v>
      </c>
      <c r="F8" s="14" t="n">
        <f aca="false">IFERROR(B8/C8,"-")</f>
        <v>1.79727095516569</v>
      </c>
      <c r="G8" s="14" t="n">
        <f aca="false">IFERROR(C8/D8,"-")</f>
        <v>2.81868131868132</v>
      </c>
      <c r="H8" s="14" t="n">
        <f aca="false">IFERROR(B8/E8,"-")</f>
        <v>9.91397849462366</v>
      </c>
    </row>
    <row r="9" customFormat="false" ht="15" hidden="false" customHeight="true" outlineLevel="0" collapsed="false">
      <c r="A9" s="5" t="s">
        <v>62</v>
      </c>
      <c r="B9" s="11" t="n">
        <v>37.1</v>
      </c>
      <c r="C9" s="11" t="n">
        <v>30.2</v>
      </c>
      <c r="D9" s="11" t="n">
        <v>29.8</v>
      </c>
      <c r="E9" s="11" t="n">
        <v>17.9</v>
      </c>
      <c r="F9" s="14" t="n">
        <f aca="false">IFERROR(B9/C9,"-")</f>
        <v>1.22847682119205</v>
      </c>
      <c r="G9" s="14" t="n">
        <f aca="false">IFERROR(C9/D9,"-")</f>
        <v>1.01342281879195</v>
      </c>
      <c r="H9" s="14" t="n">
        <f aca="false">IFERROR(B9/E9,"-")</f>
        <v>2.07262569832402</v>
      </c>
    </row>
    <row r="10" customFormat="false" ht="15" hidden="false" customHeight="true" outlineLevel="0" collapsed="false">
      <c r="A10" s="5" t="s">
        <v>63</v>
      </c>
      <c r="B10" s="11" t="n">
        <v>17.4</v>
      </c>
      <c r="C10" s="11" t="n">
        <v>11.4</v>
      </c>
      <c r="D10" s="11" t="n">
        <v>12.6</v>
      </c>
      <c r="E10" s="11" t="n">
        <v>10.7</v>
      </c>
      <c r="F10" s="14" t="n">
        <f aca="false">IFERROR(B10/C10,"-")</f>
        <v>1.52631578947368</v>
      </c>
      <c r="G10" s="14" t="n">
        <f aca="false">IFERROR(C10/D10,"-")</f>
        <v>0.904761904761905</v>
      </c>
      <c r="H10" s="14" t="n">
        <f aca="false">IFERROR(B10/E10,"-")</f>
        <v>1.62616822429907</v>
      </c>
    </row>
    <row r="12" customFormat="false" ht="15" hidden="false" customHeight="true" outlineLevel="0" collapsed="false">
      <c r="A12" s="3" t="s">
        <v>64</v>
      </c>
    </row>
    <row r="14" customFormat="false" ht="15" hidden="false" customHeight="true" outlineLevel="0" collapsed="false">
      <c r="A14" s="15" t="s">
        <v>65</v>
      </c>
    </row>
    <row r="15" customFormat="false" ht="23.25" hidden="false" customHeight="true" outlineLevel="0" collapsed="false">
      <c r="A15" s="4" t="s">
        <v>50</v>
      </c>
      <c r="B15" s="4" t="s">
        <v>51</v>
      </c>
      <c r="C15" s="4" t="s">
        <v>52</v>
      </c>
      <c r="D15" s="4" t="s">
        <v>53</v>
      </c>
      <c r="E15" s="4" t="s">
        <v>54</v>
      </c>
    </row>
    <row r="16" customFormat="false" ht="15" hidden="false" customHeight="true" outlineLevel="0" collapsed="false">
      <c r="A16" s="5" t="s">
        <v>58</v>
      </c>
      <c r="B16" s="14" t="n">
        <f aca="false">IFERROR('Trung vị'!B5/'Nhanh nhất'!B5,"-")</f>
        <v>1</v>
      </c>
      <c r="C16" s="14" t="n">
        <f aca="false">IFERROR('Trung vị'!C5/'Nhanh nhất'!C5,"-")</f>
        <v>1.02061855670103</v>
      </c>
      <c r="D16" s="14" t="n">
        <f aca="false">IFERROR('Trung vị'!D5/'Nhanh nhất'!D5,"-")</f>
        <v>1.04545454545455</v>
      </c>
      <c r="E16" s="14" t="n">
        <f aca="false">IFERROR('Trung vị'!E5/'Nhanh nhất'!E5,"-")</f>
        <v>16.5555555555556</v>
      </c>
    </row>
    <row r="17" customFormat="false" ht="15" hidden="false" customHeight="true" outlineLevel="0" collapsed="false">
      <c r="A17" s="5" t="s">
        <v>59</v>
      </c>
      <c r="B17" s="14" t="n">
        <f aca="false">IFERROR('Trung vị'!B6/'Nhanh nhất'!B6,"-")</f>
        <v>1.06369426751592</v>
      </c>
      <c r="C17" s="14" t="n">
        <f aca="false">IFERROR('Trung vị'!C6/'Nhanh nhất'!C6,"-")</f>
        <v>1.04166666666667</v>
      </c>
      <c r="D17" s="14" t="n">
        <f aca="false">IFERROR('Trung vị'!D6/'Nhanh nhất'!D6,"-")</f>
        <v>2.35374149659864</v>
      </c>
      <c r="E17" s="14" t="n">
        <f aca="false">IFERROR('Trung vị'!E6/'Nhanh nhất'!E6,"-")</f>
        <v>1.92156862745098</v>
      </c>
    </row>
    <row r="18" customFormat="false" ht="15" hidden="false" customHeight="true" outlineLevel="0" collapsed="false">
      <c r="A18" s="5" t="s">
        <v>60</v>
      </c>
      <c r="B18" s="14" t="n">
        <f aca="false">IFERROR('Trung vị'!B7/'Nhanh nhất'!B7,"-")</f>
        <v>1.32624113475177</v>
      </c>
      <c r="C18" s="14" t="n">
        <f aca="false">IFERROR('Trung vị'!C7/'Nhanh nhất'!C7,"-")</f>
        <v>1.00657894736842</v>
      </c>
      <c r="D18" s="14" t="n">
        <f aca="false">IFERROR('Trung vị'!D7/'Nhanh nhất'!D7,"-")</f>
        <v>1.04191616766467</v>
      </c>
      <c r="E18" s="14" t="n">
        <f aca="false">IFERROR('Trung vị'!E7/'Nhanh nhất'!E7,"-")</f>
        <v>3.98924731182796</v>
      </c>
    </row>
    <row r="19" customFormat="false" ht="15" hidden="false" customHeight="true" outlineLevel="0" collapsed="false">
      <c r="A19" s="5" t="s">
        <v>61</v>
      </c>
      <c r="B19" s="14" t="n">
        <f aca="false">IFERROR('Trung vị'!B8/'Nhanh nhất'!B8,"-")</f>
        <v>1.0872641509434</v>
      </c>
      <c r="C19" s="14" t="n">
        <f aca="false">IFERROR('Trung vị'!C8/'Nhanh nhất'!C8,"-")</f>
        <v>2.88202247191011</v>
      </c>
      <c r="D19" s="14" t="n">
        <f aca="false">IFERROR('Trung vị'!D8/'Nhanh nhất'!D8,"-")</f>
        <v>1.06432748538012</v>
      </c>
      <c r="E19" s="14" t="n">
        <f aca="false">IFERROR('Trung vị'!E8/'Nhanh nhất'!E8,"-")</f>
        <v>1</v>
      </c>
    </row>
    <row r="20" customFormat="false" ht="15" hidden="false" customHeight="true" outlineLevel="0" collapsed="false">
      <c r="A20" s="5" t="s">
        <v>62</v>
      </c>
      <c r="B20" s="14" t="n">
        <f aca="false">IFERROR('Trung vị'!B9/'Nhanh nhất'!B9,"-")</f>
        <v>1.04507042253521</v>
      </c>
      <c r="C20" s="14" t="n">
        <f aca="false">IFERROR('Trung vị'!C9/'Nhanh nhất'!C9,"-")</f>
        <v>1.11851851851852</v>
      </c>
      <c r="D20" s="14" t="n">
        <f aca="false">IFERROR('Trung vị'!D9/'Nhanh nhất'!D9,"-")</f>
        <v>1.02054794520548</v>
      </c>
      <c r="E20" s="14" t="n">
        <f aca="false">IFERROR('Trung vị'!E9/'Nhanh nhất'!E9,"-")</f>
        <v>1.05294117647059</v>
      </c>
    </row>
    <row r="21" customFormat="false" ht="15" hidden="false" customHeight="true" outlineLevel="0" collapsed="false">
      <c r="A21" s="5" t="s">
        <v>63</v>
      </c>
      <c r="B21" s="14" t="n">
        <f aca="false">IFERROR('Trung vị'!B10/'Nhanh nhất'!B10,"-")</f>
        <v>1</v>
      </c>
      <c r="C21" s="14" t="n">
        <f aca="false">IFERROR('Trung vị'!C10/'Nhanh nhất'!C10,"-")</f>
        <v>1.00884955752212</v>
      </c>
      <c r="D21" s="14" t="n">
        <f aca="false">IFERROR('Trung vị'!D10/'Nhanh nhất'!D10,"-")</f>
        <v>1.01612903225806</v>
      </c>
      <c r="E21" s="14" t="n">
        <f aca="false">IFERROR('Trung vị'!E10/'Nhanh nhất'!E10,"-")</f>
        <v>1.00943396226415</v>
      </c>
    </row>
  </sheetData>
  <conditionalFormatting sqref="B16:E21">
    <cfRule type="cellIs" priority="2" operator="greaterThan" aboveAverage="0" equalAverage="0" bottom="0" percent="0" rank="0" text="" dxfId="0">
      <formula>1.5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8" min="2" style="1" width="16"/>
  </cols>
  <sheetData>
    <row r="1" customFormat="false" ht="15.75" hidden="false" customHeight="true" outlineLevel="0" collapsed="false">
      <c r="A1" s="2" t="s">
        <v>66</v>
      </c>
    </row>
    <row r="2" customFormat="false" ht="15" hidden="false" customHeight="true" outlineLevel="0" collapsed="false">
      <c r="A2" s="3" t="s">
        <v>67</v>
      </c>
    </row>
    <row r="4" customFormat="false" ht="31.5" hidden="false" customHeight="true" outlineLevel="0" collapsed="false">
      <c r="A4" s="4" t="s">
        <v>50</v>
      </c>
      <c r="B4" s="4" t="s">
        <v>51</v>
      </c>
      <c r="C4" s="4" t="s">
        <v>52</v>
      </c>
      <c r="D4" s="4" t="s">
        <v>53</v>
      </c>
      <c r="E4" s="4" t="s">
        <v>54</v>
      </c>
      <c r="F4" s="4" t="s">
        <v>55</v>
      </c>
      <c r="G4" s="4" t="s">
        <v>56</v>
      </c>
      <c r="H4" s="4" t="s">
        <v>57</v>
      </c>
    </row>
    <row r="5" customFormat="false" ht="15" hidden="false" customHeight="true" outlineLevel="0" collapsed="false">
      <c r="A5" s="5" t="s">
        <v>58</v>
      </c>
      <c r="B5" s="11" t="n">
        <v>11.8</v>
      </c>
      <c r="C5" s="11" t="n">
        <v>9.7</v>
      </c>
      <c r="D5" s="11" t="n">
        <v>11</v>
      </c>
      <c r="E5" s="11" t="n">
        <v>0.9</v>
      </c>
      <c r="F5" s="14" t="n">
        <f aca="false">IFERROR(B5/C5,"-")</f>
        <v>1.21649484536082</v>
      </c>
      <c r="G5" s="14" t="n">
        <f aca="false">IFERROR(C5/D5,"-")</f>
        <v>0.881818181818182</v>
      </c>
      <c r="H5" s="14" t="n">
        <f aca="false">IFERROR(B5/E5,"-")</f>
        <v>13.1111111111111</v>
      </c>
    </row>
    <row r="6" customFormat="false" ht="15" hidden="false" customHeight="true" outlineLevel="0" collapsed="false">
      <c r="A6" s="5" t="s">
        <v>59</v>
      </c>
      <c r="B6" s="11" t="n">
        <v>15.7</v>
      </c>
      <c r="C6" s="11" t="n">
        <v>12</v>
      </c>
      <c r="D6" s="11" t="n">
        <v>14.7</v>
      </c>
      <c r="E6" s="11" t="n">
        <v>10.2</v>
      </c>
      <c r="F6" s="14" t="n">
        <f aca="false">IFERROR(B6/C6,"-")</f>
        <v>1.30833333333333</v>
      </c>
      <c r="G6" s="14" t="n">
        <f aca="false">IFERROR(C6/D6,"-")</f>
        <v>0.816326530612245</v>
      </c>
      <c r="H6" s="14" t="n">
        <f aca="false">IFERROR(B6/E6,"-")</f>
        <v>1.53921568627451</v>
      </c>
    </row>
    <row r="7" customFormat="false" ht="15" hidden="false" customHeight="true" outlineLevel="0" collapsed="false">
      <c r="A7" s="5" t="s">
        <v>60</v>
      </c>
      <c r="B7" s="11" t="n">
        <v>14.1</v>
      </c>
      <c r="C7" s="11" t="n">
        <v>15.2</v>
      </c>
      <c r="D7" s="11" t="n">
        <v>16.7</v>
      </c>
      <c r="E7" s="11" t="n">
        <v>9.3</v>
      </c>
      <c r="F7" s="14" t="n">
        <f aca="false">IFERROR(B7/C7,"-")</f>
        <v>0.927631578947369</v>
      </c>
      <c r="G7" s="14" t="n">
        <f aca="false">IFERROR(C7/D7,"-")</f>
        <v>0.910179640718563</v>
      </c>
      <c r="H7" s="14" t="n">
        <f aca="false">IFERROR(B7/E7,"-")</f>
        <v>1.51612903225806</v>
      </c>
    </row>
    <row r="8" customFormat="false" ht="15" hidden="false" customHeight="true" outlineLevel="0" collapsed="false">
      <c r="A8" s="5" t="s">
        <v>61</v>
      </c>
      <c r="B8" s="11" t="n">
        <v>84.8</v>
      </c>
      <c r="C8" s="11" t="n">
        <v>17.8</v>
      </c>
      <c r="D8" s="11" t="n">
        <v>17.1</v>
      </c>
      <c r="E8" s="11" t="n">
        <v>9.3</v>
      </c>
      <c r="F8" s="14" t="n">
        <f aca="false">IFERROR(B8/C8,"-")</f>
        <v>4.76404494382023</v>
      </c>
      <c r="G8" s="14" t="n">
        <f aca="false">IFERROR(C8/D8,"-")</f>
        <v>1.04093567251462</v>
      </c>
      <c r="H8" s="14" t="n">
        <f aca="false">IFERROR(B8/E8,"-")</f>
        <v>9.11827956989247</v>
      </c>
    </row>
    <row r="9" customFormat="false" ht="15" hidden="false" customHeight="true" outlineLevel="0" collapsed="false">
      <c r="A9" s="5" t="s">
        <v>62</v>
      </c>
      <c r="B9" s="11" t="n">
        <v>35.5</v>
      </c>
      <c r="C9" s="11" t="n">
        <v>27</v>
      </c>
      <c r="D9" s="11" t="n">
        <v>29.2</v>
      </c>
      <c r="E9" s="11" t="n">
        <v>17</v>
      </c>
      <c r="F9" s="14" t="n">
        <f aca="false">IFERROR(B9/C9,"-")</f>
        <v>1.31481481481481</v>
      </c>
      <c r="G9" s="14" t="n">
        <f aca="false">IFERROR(C9/D9,"-")</f>
        <v>0.924657534246575</v>
      </c>
      <c r="H9" s="14" t="n">
        <f aca="false">IFERROR(B9/E9,"-")</f>
        <v>2.08823529411765</v>
      </c>
    </row>
    <row r="10" customFormat="false" ht="15" hidden="false" customHeight="true" outlineLevel="0" collapsed="false">
      <c r="A10" s="5" t="s">
        <v>63</v>
      </c>
      <c r="B10" s="11" t="n">
        <v>17.4</v>
      </c>
      <c r="C10" s="11" t="n">
        <v>11.3</v>
      </c>
      <c r="D10" s="11" t="n">
        <v>12.4</v>
      </c>
      <c r="E10" s="11" t="n">
        <v>10.6</v>
      </c>
      <c r="F10" s="14" t="n">
        <f aca="false">IFERROR(B10/C10,"-")</f>
        <v>1.53982300884956</v>
      </c>
      <c r="G10" s="14" t="n">
        <f aca="false">IFERROR(C10/D10,"-")</f>
        <v>0.911290322580645</v>
      </c>
      <c r="H10" s="14" t="n">
        <f aca="false">IFERROR(B10/E10,"-")</f>
        <v>1.64150943396226</v>
      </c>
    </row>
    <row r="12" customFormat="false" ht="15" hidden="false" customHeight="true" outlineLevel="0" collapsed="false">
      <c r="A12" s="3" t="s">
        <v>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5" min="2" style="1" width="22"/>
  </cols>
  <sheetData>
    <row r="1" customFormat="false" ht="15.75" hidden="false" customHeight="true" outlineLevel="0" collapsed="false">
      <c r="A1" s="2" t="s">
        <v>68</v>
      </c>
    </row>
    <row r="3" customFormat="false" ht="31.5" hidden="false" customHeight="true" outlineLevel="0" collapsed="false">
      <c r="A3" s="4" t="s">
        <v>69</v>
      </c>
      <c r="B3" s="4" t="s">
        <v>70</v>
      </c>
      <c r="C3" s="4" t="s">
        <v>71</v>
      </c>
      <c r="D3" s="4" t="s">
        <v>72</v>
      </c>
      <c r="E3" s="4" t="s">
        <v>73</v>
      </c>
    </row>
    <row r="4" customFormat="false" ht="15" hidden="false" customHeight="true" outlineLevel="0" collapsed="false">
      <c r="A4" s="5" t="s">
        <v>74</v>
      </c>
      <c r="B4" s="11" t="n">
        <v>131.7</v>
      </c>
      <c r="C4" s="9" t="n">
        <f aca="false">'Tổng quan'!B8</f>
        <v>1000000</v>
      </c>
      <c r="D4" s="16" t="n">
        <f aca="false">B4*1024*1024/C4</f>
        <v>138.0974592</v>
      </c>
      <c r="E4" s="14" t="n">
        <f aca="false">$B$4/B4</f>
        <v>1</v>
      </c>
    </row>
    <row r="5" customFormat="false" ht="15" hidden="false" customHeight="true" outlineLevel="0" collapsed="false">
      <c r="A5" s="5" t="s">
        <v>75</v>
      </c>
      <c r="B5" s="11" t="n">
        <v>10.6</v>
      </c>
      <c r="C5" s="9" t="n">
        <f aca="false">'Tổng quan'!B8</f>
        <v>1000000</v>
      </c>
      <c r="D5" s="16" t="n">
        <f aca="false">B5*1024*1024/C5</f>
        <v>11.1149056</v>
      </c>
      <c r="E5" s="14" t="n">
        <f aca="false">$B$4/B5</f>
        <v>12.4245283018868</v>
      </c>
    </row>
    <row r="6" customFormat="false" ht="15" hidden="false" customHeight="true" outlineLevel="0" collapsed="false">
      <c r="A6" s="5" t="s">
        <v>76</v>
      </c>
      <c r="B6" s="11" t="n">
        <v>25.4</v>
      </c>
      <c r="C6" s="9" t="n">
        <f aca="false">'Tổng quan'!B8</f>
        <v>1000000</v>
      </c>
      <c r="D6" s="16" t="n">
        <f aca="false">B6*1024*1024/C6</f>
        <v>26.6338304</v>
      </c>
      <c r="E6" s="14" t="n">
        <f aca="false">$B$4/B6</f>
        <v>5.18503937007874</v>
      </c>
    </row>
    <row r="7" customFormat="false" ht="15" hidden="false" customHeight="true" outlineLevel="0" collapsed="false">
      <c r="A7" s="5" t="s">
        <v>77</v>
      </c>
      <c r="B7" s="11" t="n">
        <v>6</v>
      </c>
      <c r="C7" s="9" t="n">
        <f aca="false">'Tổng quan'!B9</f>
        <v>261550</v>
      </c>
      <c r="D7" s="16" t="n">
        <f aca="false">B7*1024*1024/C7</f>
        <v>24.0545058306251</v>
      </c>
      <c r="E7" s="14" t="n">
        <f aca="false">$B$4/B7</f>
        <v>21.95</v>
      </c>
    </row>
    <row r="9" customFormat="false" ht="15" hidden="false" customHeight="true" outlineLevel="0" collapsed="false">
      <c r="A9" s="13" t="s">
        <v>78</v>
      </c>
      <c r="B9" s="14" t="n">
        <f aca="false">B6/B5</f>
        <v>2.39622641509434</v>
      </c>
    </row>
    <row r="10" customFormat="false" ht="15" hidden="false" customHeight="true" outlineLevel="0" collapsed="false">
      <c r="A10" s="13" t="s">
        <v>79</v>
      </c>
      <c r="B10" s="17" t="n">
        <f aca="false">B6/'Tổng quan'!B10</f>
        <v>0.508</v>
      </c>
    </row>
    <row r="12" customFormat="false" ht="15" hidden="false" customHeight="true" outlineLevel="0" collapsed="false">
      <c r="A12" s="3" t="s">
        <v>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7" min="2" style="1" width="20"/>
  </cols>
  <sheetData>
    <row r="1" customFormat="false" ht="15.75" hidden="false" customHeight="true" outlineLevel="0" collapsed="false">
      <c r="A1" s="2" t="s">
        <v>81</v>
      </c>
    </row>
    <row r="3" customFormat="false" ht="31.5" hidden="false" customHeight="true" outlineLevel="0" collapsed="false">
      <c r="A3" s="4" t="s">
        <v>82</v>
      </c>
      <c r="B3" s="4" t="s">
        <v>83</v>
      </c>
      <c r="C3" s="4" t="s">
        <v>84</v>
      </c>
      <c r="D3" s="4" t="s">
        <v>85</v>
      </c>
      <c r="E3" s="4" t="s">
        <v>86</v>
      </c>
      <c r="F3" s="4" t="s">
        <v>87</v>
      </c>
      <c r="G3" s="4" t="s">
        <v>88</v>
      </c>
    </row>
    <row r="4" customFormat="false" ht="15" hidden="false" customHeight="true" outlineLevel="0" collapsed="false">
      <c r="A4" s="5" t="s">
        <v>89</v>
      </c>
      <c r="B4" s="11" t="n">
        <v>32.18</v>
      </c>
      <c r="C4" s="11" t="n">
        <v>11.17</v>
      </c>
      <c r="D4" s="14" t="n">
        <f aca="false">B4/C4</f>
        <v>2.88093106535363</v>
      </c>
      <c r="E4" s="16" t="n">
        <f aca="false">MAX(B4-'Tổng quan'!$B$11,0)</f>
        <v>23.78</v>
      </c>
      <c r="F4" s="16" t="n">
        <f aca="false">MAX(C4-'Tổng quan'!$B$11,0)</f>
        <v>2.77</v>
      </c>
      <c r="G4" s="14" t="n">
        <f aca="false">IFERROR(E4/F4,"-")</f>
        <v>8.58483754512636</v>
      </c>
    </row>
    <row r="5" customFormat="false" ht="15" hidden="false" customHeight="true" outlineLevel="0" collapsed="false">
      <c r="A5" s="5" t="s">
        <v>90</v>
      </c>
      <c r="B5" s="11" t="n">
        <v>30.59</v>
      </c>
      <c r="C5" s="11" t="n">
        <v>16.47</v>
      </c>
      <c r="D5" s="14" t="n">
        <f aca="false">B5/C5</f>
        <v>1.85731633272617</v>
      </c>
      <c r="E5" s="16" t="n">
        <f aca="false">MAX(B5-'Tổng quan'!$B$11,0)</f>
        <v>22.19</v>
      </c>
      <c r="F5" s="16" t="n">
        <f aca="false">MAX(C5-'Tổng quan'!$B$11,0)</f>
        <v>8.07</v>
      </c>
      <c r="G5" s="14" t="n">
        <f aca="false">IFERROR(E5/F5,"-")</f>
        <v>2.74969021065675</v>
      </c>
    </row>
    <row r="7" customFormat="false" ht="15" hidden="false" customHeight="true" outlineLevel="0" collapsed="false">
      <c r="A7" s="3" t="s">
        <v>91</v>
      </c>
    </row>
    <row r="9" customFormat="false" ht="15" hidden="false" customHeight="true" outlineLevel="0" collapsed="false">
      <c r="A9" s="4" t="s">
        <v>92</v>
      </c>
      <c r="B9" s="4" t="s">
        <v>3</v>
      </c>
      <c r="C9" s="4" t="s">
        <v>93</v>
      </c>
    </row>
    <row r="10" customFormat="false" ht="15" hidden="false" customHeight="true" outlineLevel="0" collapsed="false">
      <c r="A10" s="5" t="s">
        <v>94</v>
      </c>
      <c r="B10" s="6" t="n">
        <v>261550</v>
      </c>
      <c r="C10" s="5" t="s">
        <v>95</v>
      </c>
    </row>
    <row r="11" customFormat="false" ht="15" hidden="false" customHeight="true" outlineLevel="0" collapsed="false">
      <c r="A11" s="5" t="s">
        <v>96</v>
      </c>
      <c r="B11" s="6" t="n">
        <v>261550</v>
      </c>
      <c r="C11" s="5" t="s">
        <v>97</v>
      </c>
    </row>
    <row r="12" customFormat="false" ht="15" hidden="false" customHeight="true" outlineLevel="0" collapsed="false">
      <c r="A12" s="5" t="s">
        <v>98</v>
      </c>
      <c r="B12" s="6" t="n">
        <v>0</v>
      </c>
      <c r="C12" s="5" t="s">
        <v>99</v>
      </c>
    </row>
    <row r="13" customFormat="false" ht="15" hidden="false" customHeight="true" outlineLevel="0" collapsed="false">
      <c r="A13" s="5" t="s">
        <v>100</v>
      </c>
      <c r="B13" s="6" t="n">
        <v>0</v>
      </c>
      <c r="C13" s="5" t="s">
        <v>99</v>
      </c>
    </row>
    <row r="14" customFormat="false" ht="15" hidden="false" customHeight="true" outlineLevel="0" collapsed="false">
      <c r="A14" s="13" t="s">
        <v>101</v>
      </c>
      <c r="B14" s="13" t="str">
        <f aca="false">IF(AND(B10=B11,B12=0,B13=0),"ĐẠT","KHÔNG ĐẠT")</f>
        <v>ĐẠT</v>
      </c>
      <c r="C14" s="5" t="s">
        <v>102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78"/>
    <col collapsed="false" customWidth="true" hidden="false" outlineLevel="0" max="3" min="3" style="1" width="34"/>
    <col collapsed="false" customWidth="true" hidden="false" outlineLevel="0" max="4" min="4" style="1" width="26"/>
  </cols>
  <sheetData>
    <row r="1" customFormat="false" ht="15.75" hidden="false" customHeight="true" outlineLevel="0" collapsed="false">
      <c r="A1" s="2" t="s">
        <v>103</v>
      </c>
    </row>
    <row r="3" customFormat="false" ht="15" hidden="false" customHeight="true" outlineLevel="0" collapsed="false">
      <c r="A3" s="4" t="s">
        <v>104</v>
      </c>
      <c r="B3" s="4" t="s">
        <v>105</v>
      </c>
      <c r="C3" s="4" t="s">
        <v>106</v>
      </c>
      <c r="D3" s="4" t="s">
        <v>107</v>
      </c>
    </row>
    <row r="4" customFormat="false" ht="61.5" hidden="false" customHeight="true" outlineLevel="0" collapsed="false">
      <c r="A4" s="18" t="n">
        <v>1</v>
      </c>
      <c r="B4" s="7" t="s">
        <v>108</v>
      </c>
      <c r="C4" s="7" t="s">
        <v>109</v>
      </c>
      <c r="D4" s="7" t="s">
        <v>110</v>
      </c>
    </row>
    <row r="5" customFormat="false" ht="61.5" hidden="false" customHeight="true" outlineLevel="0" collapsed="false">
      <c r="A5" s="18" t="n">
        <v>2</v>
      </c>
      <c r="B5" s="7" t="s">
        <v>111</v>
      </c>
      <c r="C5" s="7" t="s">
        <v>112</v>
      </c>
      <c r="D5" s="7" t="s">
        <v>113</v>
      </c>
    </row>
    <row r="6" customFormat="false" ht="61.5" hidden="false" customHeight="true" outlineLevel="0" collapsed="false">
      <c r="A6" s="18" t="n">
        <v>3</v>
      </c>
      <c r="B6" s="7" t="s">
        <v>114</v>
      </c>
      <c r="C6" s="7" t="s">
        <v>115</v>
      </c>
      <c r="D6" s="7" t="s">
        <v>110</v>
      </c>
    </row>
    <row r="7" customFormat="false" ht="61.5" hidden="false" customHeight="true" outlineLevel="0" collapsed="false">
      <c r="A7" s="18" t="n">
        <v>4</v>
      </c>
      <c r="B7" s="7" t="s">
        <v>116</v>
      </c>
      <c r="C7" s="7" t="s">
        <v>117</v>
      </c>
      <c r="D7" s="7" t="s">
        <v>118</v>
      </c>
    </row>
    <row r="8" customFormat="false" ht="61.5" hidden="false" customHeight="true" outlineLevel="0" collapsed="false">
      <c r="A8" s="18" t="n">
        <v>5</v>
      </c>
      <c r="B8" s="7" t="s">
        <v>119</v>
      </c>
      <c r="C8" s="7" t="s">
        <v>120</v>
      </c>
      <c r="D8" s="7" t="s">
        <v>121</v>
      </c>
    </row>
    <row r="9" customFormat="false" ht="61.5" hidden="false" customHeight="true" outlineLevel="0" collapsed="false">
      <c r="A9" s="18" t="n">
        <v>6</v>
      </c>
      <c r="B9" s="7" t="s">
        <v>122</v>
      </c>
      <c r="C9" s="7" t="s">
        <v>123</v>
      </c>
      <c r="D9" s="7" t="s">
        <v>124</v>
      </c>
    </row>
    <row r="10" customFormat="false" ht="61.5" hidden="false" customHeight="true" outlineLevel="0" collapsed="false">
      <c r="A10" s="18" t="n">
        <v>7</v>
      </c>
      <c r="B10" s="7" t="s">
        <v>125</v>
      </c>
      <c r="C10" s="7" t="s">
        <v>126</v>
      </c>
      <c r="D10" s="7" t="s">
        <v>127</v>
      </c>
    </row>
    <row r="11" customFormat="false" ht="61.5" hidden="false" customHeight="true" outlineLevel="0" collapsed="false">
      <c r="A11" s="18" t="n">
        <v>8</v>
      </c>
      <c r="B11" s="7" t="s">
        <v>128</v>
      </c>
      <c r="C11" s="7" t="s">
        <v>117</v>
      </c>
      <c r="D11" s="7" t="s">
        <v>129</v>
      </c>
    </row>
    <row r="12" customFormat="false" ht="61.5" hidden="false" customHeight="true" outlineLevel="0" collapsed="false">
      <c r="A12" s="18" t="n">
        <v>9</v>
      </c>
      <c r="B12" s="7" t="s">
        <v>130</v>
      </c>
      <c r="C12" s="7" t="s">
        <v>131</v>
      </c>
      <c r="D12" s="7" t="s">
        <v>132</v>
      </c>
    </row>
    <row r="13" customFormat="false" ht="48" hidden="false" customHeight="true" outlineLevel="0" collapsed="false">
      <c r="A13" s="18" t="n">
        <v>10</v>
      </c>
      <c r="B13" s="7" t="s">
        <v>133</v>
      </c>
      <c r="C13" s="7" t="s">
        <v>134</v>
      </c>
      <c r="D13" s="7" t="s">
        <v>110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4"/>
    <col collapsed="false" customWidth="true" hidden="false" outlineLevel="0" max="3" min="3" style="0" width="80"/>
  </cols>
  <sheetData>
    <row r="1" customFormat="false" ht="16.15" hidden="false" customHeight="false" outlineLevel="0" collapsed="false">
      <c r="A1" s="19" t="s">
        <v>135</v>
      </c>
    </row>
    <row r="2" customFormat="false" ht="15" hidden="false" customHeight="false" outlineLevel="0" collapsed="false">
      <c r="A2" s="20" t="s">
        <v>136</v>
      </c>
    </row>
    <row r="4" customFormat="false" ht="15" hidden="false" customHeight="false" outlineLevel="0" collapsed="false">
      <c r="A4" s="4" t="s">
        <v>137</v>
      </c>
      <c r="B4" s="4" t="s">
        <v>138</v>
      </c>
      <c r="C4" s="4" t="s">
        <v>139</v>
      </c>
    </row>
    <row r="5" customFormat="false" ht="48" hidden="false" customHeight="true" outlineLevel="0" collapsed="false">
      <c r="A5" s="7" t="s">
        <v>140</v>
      </c>
      <c r="B5" s="21" t="s">
        <v>41</v>
      </c>
      <c r="C5" s="7" t="s">
        <v>141</v>
      </c>
    </row>
    <row r="6" customFormat="false" ht="48" hidden="false" customHeight="true" outlineLevel="0" collapsed="false">
      <c r="A6" s="7" t="s">
        <v>142</v>
      </c>
      <c r="B6" s="21" t="s">
        <v>143</v>
      </c>
      <c r="C6" s="7" t="s">
        <v>144</v>
      </c>
    </row>
    <row r="7" customFormat="false" ht="48" hidden="false" customHeight="true" outlineLevel="0" collapsed="false">
      <c r="A7" s="7" t="s">
        <v>145</v>
      </c>
      <c r="B7" s="21" t="s">
        <v>143</v>
      </c>
      <c r="C7" s="7" t="s">
        <v>146</v>
      </c>
    </row>
    <row r="9" customFormat="false" ht="15" hidden="false" customHeight="false" outlineLevel="0" collapsed="false">
      <c r="A9" s="22" t="s">
        <v>147</v>
      </c>
    </row>
    <row r="10" customFormat="false" ht="15" hidden="false" customHeight="false" outlineLevel="0" collapsed="false">
      <c r="A10" s="23" t="s">
        <v>148</v>
      </c>
      <c r="B10" s="24" t="n">
        <v>2</v>
      </c>
    </row>
    <row r="11" customFormat="false" ht="15" hidden="false" customHeight="false" outlineLevel="0" collapsed="false">
      <c r="A11" s="23" t="s">
        <v>149</v>
      </c>
      <c r="B11" s="25" t="n">
        <v>34.751</v>
      </c>
    </row>
    <row r="12" customFormat="false" ht="48" hidden="false" customHeight="true" outlineLevel="0" collapsed="false">
      <c r="A12" s="26" t="s">
        <v>150</v>
      </c>
      <c r="B12" s="27" t="n">
        <f aca="false">B10*60+B11</f>
        <v>154.751</v>
      </c>
      <c r="C12" s="7" t="s">
        <v>151</v>
      </c>
    </row>
    <row r="14" customFormat="false" ht="15" hidden="false" customHeight="false" outlineLevel="0" collapsed="false">
      <c r="A14" s="20" t="s">
        <v>152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2026-10-25T10:37:43Z</dcterms:created>
  <dc:creator>openpyxl</dc:creator>
  <dc:description/>
  <dc:language>en-US</dc:language>
  <cp:lastModifiedBy/>
  <dcterms:modified xsi:type="dcterms:W3CDTF">2026-10-25T11:00:59Z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